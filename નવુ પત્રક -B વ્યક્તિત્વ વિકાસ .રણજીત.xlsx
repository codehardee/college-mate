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E43CE2F0-1280-439F-B975-443E101D5E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4" i="1" l="1"/>
  <c r="AS24" i="1" s="1"/>
  <c r="AR25" i="1"/>
  <c r="AR26" i="1"/>
  <c r="AR27" i="1"/>
  <c r="AS26" i="1" s="1"/>
  <c r="AR28" i="1"/>
  <c r="AR29" i="1"/>
  <c r="AS28" i="1" s="1"/>
  <c r="AR30" i="1"/>
  <c r="AR31" i="1"/>
  <c r="AR32" i="1"/>
  <c r="AR33" i="1"/>
  <c r="AR34" i="1"/>
  <c r="AR35" i="1"/>
  <c r="AR51" i="1"/>
  <c r="AR50" i="1"/>
  <c r="AS50" i="1" s="1"/>
  <c r="AR49" i="1"/>
  <c r="AR48" i="1"/>
  <c r="AR47" i="1"/>
  <c r="AR46" i="1"/>
  <c r="AR45" i="1"/>
  <c r="AR44" i="1"/>
  <c r="AR43" i="1"/>
  <c r="AR42" i="1"/>
  <c r="AS42" i="1" s="1"/>
  <c r="AR41" i="1"/>
  <c r="AR40" i="1"/>
  <c r="AS40" i="1" s="1"/>
  <c r="AR39" i="1"/>
  <c r="AR38" i="1"/>
  <c r="AR37" i="1"/>
  <c r="AR36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S32" i="1" l="1"/>
  <c r="AS34" i="1"/>
  <c r="AS30" i="1"/>
  <c r="AS10" i="1"/>
  <c r="AS18" i="1"/>
  <c r="AS46" i="1"/>
  <c r="AS14" i="1"/>
  <c r="AS12" i="1"/>
  <c r="AS36" i="1"/>
  <c r="AS44" i="1"/>
  <c r="AS8" i="1"/>
  <c r="AS22" i="1"/>
  <c r="AS38" i="1"/>
  <c r="AS20" i="1"/>
  <c r="AS16" i="1"/>
  <c r="AS48" i="1"/>
</calcChain>
</file>

<file path=xl/sharedStrings.xml><?xml version="1.0" encoding="utf-8"?>
<sst xmlns="http://schemas.openxmlformats.org/spreadsheetml/2006/main" count="86" uniqueCount="86">
  <si>
    <t>પત્રક - B</t>
  </si>
  <si>
    <t>વ્યક્તિત્વ વિકાસ</t>
  </si>
  <si>
    <t xml:space="preserve">ધોરણ - </t>
  </si>
  <si>
    <t xml:space="preserve">વર્ગ - </t>
  </si>
  <si>
    <t>વર્ગ શિક્ષકનું નામ-</t>
  </si>
  <si>
    <t>વર્ષ -</t>
  </si>
  <si>
    <t>વિદ્યાર્થીનું નામ</t>
  </si>
  <si>
    <t>સત્ર</t>
  </si>
  <si>
    <t>ક્ષેત્ર - 1</t>
  </si>
  <si>
    <t>ક્ષેત્ર - 2</t>
  </si>
  <si>
    <t>ક્ષેત્ર - 4</t>
  </si>
  <si>
    <t xml:space="preserve">ક્ષેત્ર - 5 ભારતીય જ્ઞાન પ્રણાલી </t>
  </si>
  <si>
    <t>કુલ</t>
  </si>
  <si>
    <t>વ્યક્તિગત અને સામાજિક ગુણો</t>
  </si>
  <si>
    <t>વિદ્યાર્થી વલણો</t>
  </si>
  <si>
    <t>સાહિત્ય</t>
  </si>
  <si>
    <t>સંગીત અને કલા</t>
  </si>
  <si>
    <t>શા.શિ. અને યોગ</t>
  </si>
  <si>
    <t>સાંસ્કૃતિક શિક્ષણ  અને યોગ</t>
  </si>
  <si>
    <t>સહશૈક્ષણિક પ્રવૃત્તિઓ</t>
  </si>
  <si>
    <t>કાર્યાનુભવ</t>
  </si>
  <si>
    <t>કોઇપણ કાર્ય કરવામાં તત્પરતા દાખવે છે.</t>
  </si>
  <si>
    <t>શાળા મિલકતની જાળવણી રાખે છે.</t>
  </si>
  <si>
    <t>વ્યક્તિગત સ્વચ્છતા અને સુઘડતા જાળવે છે.</t>
  </si>
  <si>
    <t>પર્યાવરણની સમતુલા જાળવવામાં ઉપયોગી થાય છે.</t>
  </si>
  <si>
    <t>ઇતર વાંચન</t>
  </si>
  <si>
    <t>ભાષાશુદ્ધિ સાથેનું મરોડદાર અક્ષરલેખન</t>
  </si>
  <si>
    <t>મૌલિક વાર્તાકથન, વક્તવ્ય</t>
  </si>
  <si>
    <t>ગાન/વાદન (અભિનય,બાળગીત વગેરે)</t>
  </si>
  <si>
    <t>યૌગિક ક્રિયાઓ ઉત્સાહપૂર્વક કરે છે.</t>
  </si>
  <si>
    <t>સરળ આસનો યોગ્ય સ્થિતિમાં કરે છે.</t>
  </si>
  <si>
    <t>સાંઘિક રમતો કૌશલ્યપૂર્વક રમે છે.</t>
  </si>
  <si>
    <t>ખેલકૂદ અને જિમ્નાસ્ટિક ગતિમેળ અને લયબદ્ધ રીતે કરે છે.</t>
  </si>
  <si>
    <t>ઉત્સવ ઉજવણી</t>
  </si>
  <si>
    <t>વિશેષદિન ઉજવણી</t>
  </si>
  <si>
    <t>પ્રશ્નમંચ(ક્વિઝ)માં ભાગીદારી</t>
  </si>
  <si>
    <t>મૂલ્યશિક્ષણની પ્રવૃત્તિમાં ભાગીદારી</t>
  </si>
  <si>
    <t>વિવિધ સ્પર્ધાઓ</t>
  </si>
  <si>
    <t>ઇકો ક્લબની પ્રવૃત્તિમાં સહભાગિતા</t>
  </si>
  <si>
    <t>પ્રવાસ-પર્યટન/મુલાકાત</t>
  </si>
  <si>
    <t xml:space="preserve">અભ્યાસ સામગ્રીમાંથી  ભારતીય સાંસ્કૃતિક વારસાની સમજ મીળવે છે. </t>
  </si>
  <si>
    <t>શ્લોક કંઠસ્થ કરે છે અને સમૂહ ગાન કરે છે.</t>
  </si>
  <si>
    <t xml:space="preserve">અભ્યાસ સામગ્રીને સંવાદ કે નાટક સ્વરૂપે રજૂ કરે છે. </t>
  </si>
  <si>
    <t xml:space="preserve">અભ્યાસ સામગ્રી વિષયક ચિંતન અને તર્ક કરે છે. </t>
  </si>
  <si>
    <t xml:space="preserve">સામગ્રીમાં રહેલા ભાવને ઓળખે છે અને શાબ્દિક-અશાબ્દિક રીતે રજૂ કરે છે. </t>
  </si>
  <si>
    <t xml:space="preserve">અભ્યાસ સામગ્રી આધારિત વિવિધ પ્રવ્રુત્તિમાં ભાગ લે છે. </t>
  </si>
  <si>
    <t xml:space="preserve">અભ્યાસ સામગ્રી સમાવિષ્ટ મૂલ્યો  અને સિદ્ધાંતોને પોતાના જીવન સાથે સાંકળે છે. </t>
  </si>
  <si>
    <t xml:space="preserve">ભારતીય સંસ્કૃતિ અને જ્ઞાન પ્રણાલી ના મૂલ્યો અને સિદ્ધાંતો વિશે સંવાદ અને ચર્ચામાં ભાગ લે છે. </t>
  </si>
  <si>
    <t xml:space="preserve">અભ્યાસ સામગ્રી આધારિત વિવિધ સ્પર્ધાઓમાંભાગ લે છે. </t>
  </si>
  <si>
    <t xml:space="preserve">વિવિધ શબ્દોના અર્થ સાંસ્કૃતિક સંદર્ભ સહિત ઓળખે/જાણે છે. </t>
  </si>
  <si>
    <t>કુલ ગુણઃ</t>
  </si>
  <si>
    <t>સરેરાશ ગુણ (બંને સત્રના આધારે વર્ષાંતે)</t>
  </si>
  <si>
    <t>વર્ગ શિક્ષકની સહી</t>
  </si>
  <si>
    <t>આચાર્યની સહી</t>
  </si>
  <si>
    <t>પ્રાર્થના સંમેલનમાં નિમિત સામેલ થાય છે.</t>
  </si>
  <si>
    <t>શાળાની સ્વચ્છતા જાળવે છે.</t>
  </si>
  <si>
    <t>બીજા વિદ્યાર્થીને મદદરૂ૫ થાય છે.</t>
  </si>
  <si>
    <t>સોંપેલું કાર્ય સારી રીતે કરે છે.</t>
  </si>
  <si>
    <t>શિક્ષણ પ્રત્યે હકારાત્મક વલણ ધરાવે છે.</t>
  </si>
  <si>
    <t>સહાધ્યાયી પ્રત્યે સહયોગ દાખવે છે.</t>
  </si>
  <si>
    <t>નાટય / નૃત્ય / વેશભૂષા /અભિનય</t>
  </si>
  <si>
    <t>ચિત્રમાં રેખાંકન સ્પષ્ટ અને સરળ કરે છે</t>
  </si>
  <si>
    <t>ચિત્રમાં રંગપૂરણી સારી રીતે કરે છે.</t>
  </si>
  <si>
    <t>માટીકામ  / શાળા સુશોભન</t>
  </si>
  <si>
    <t>કાગળકામ / ટીએલએમ નિર્માણમાં સહયોગ</t>
  </si>
  <si>
    <t xml:space="preserve">ક્ષેત્ર - 3  વિદ્યાર્થીના રસના ક્ષેત્રો </t>
  </si>
  <si>
    <t>ભાવેશ કરશનભાઈ નાયકા</t>
  </si>
  <si>
    <t>દિપીકા શૈલેષભાઈ નડિયાપરા</t>
  </si>
  <si>
    <t>હાર્દિક ગૌતમભાઈ સુરડિયા</t>
  </si>
  <si>
    <t>હિના જીવાભાઇ ગોરડિયા</t>
  </si>
  <si>
    <t>હિરેન કિશોરભાઈ પરમાર</t>
  </si>
  <si>
    <t xml:space="preserve">કાજલ કોચરભાઈ નાયકા </t>
  </si>
  <si>
    <t xml:space="preserve">ખુશાલી ગોપાલભાઈ પરમાર </t>
  </si>
  <si>
    <t>માઈનુરબાનુ મુનાફભાઈ સમા</t>
  </si>
  <si>
    <t>નવાજ હાસમભાઇ રાવકડા</t>
  </si>
  <si>
    <t>નવાજ ઈરફાનભાઈ મંદરા</t>
  </si>
  <si>
    <t xml:space="preserve">નજમા હાજીભાઈ સાંઢ </t>
  </si>
  <si>
    <t>નાજમીન ઈશાકભાઇ ફકીર</t>
  </si>
  <si>
    <t>નિખિલ નટવરલાલ પરમાર</t>
  </si>
  <si>
    <t>નિકુન વિજયભાઇ પરમાર</t>
  </si>
  <si>
    <t>રેહાન ફિરોજભાઈ સોઢા</t>
  </si>
  <si>
    <t xml:space="preserve">સાહિલ હાસમભાઇ સાંઢ </t>
  </si>
  <si>
    <t xml:space="preserve">તાજીર ઓસમાણભાઈ ખફી </t>
  </si>
  <si>
    <t>ઉર્વશી ધર્મેન્દ્રભાઈ નકુમ</t>
  </si>
  <si>
    <t>તમન્ના સલિમભાઈ ખીરા</t>
  </si>
  <si>
    <t>તમન્ના હાસમભાઇ રાવકડા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</si>
</sst>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name val="Calibri"/>
      <scheme val="minor"/>
    </font>
    <font>
      <b/>
      <u/>
      <sz val="20"/>
      <name val="Arial"/>
    </font>
    <font>
      <b/>
      <u/>
      <sz val="20"/>
      <name val="Arial"/>
    </font>
    <font>
      <u/>
      <sz val="16"/>
      <name val="Arial"/>
    </font>
    <font>
      <b/>
      <u/>
      <sz val="16"/>
      <name val="Arial"/>
    </font>
    <font>
      <sz val="18"/>
      <name val="Calibri"/>
    </font>
    <font>
      <sz val="18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4"/>
      <name val="Calibri"/>
    </font>
    <font>
      <sz val="10"/>
      <name val="Calibri"/>
    </font>
    <font>
      <b/>
      <sz val="11"/>
      <name val="TERAFONT-CHANDAN"/>
    </font>
    <font>
      <sz val="12"/>
      <name val="Calibri"/>
    </font>
    <font>
      <sz val="9"/>
      <name val="Calibri"/>
    </font>
    <font>
      <sz val="11"/>
      <name val="TERAFONT-CHANDAN"/>
    </font>
    <font>
      <sz val="8"/>
      <name val="Calibri"/>
    </font>
    <font>
      <sz val="7"/>
      <name val="Calibri"/>
    </font>
    <font>
      <b/>
      <sz val="10"/>
      <name val="Calibri"/>
    </font>
    <font>
      <sz val="10"/>
      <name val="Calibri"/>
    </font>
    <font>
      <b/>
      <sz val="12"/>
      <name val="Calibri"/>
    </font>
    <font>
      <b/>
      <sz val="11"/>
      <name val="Calibri"/>
    </font>
    <font>
      <sz val="10"/>
      <name val="Arial"/>
      <family val="2"/>
    </font>
    <font>
      <sz val="12"/>
      <name val="Arial Unicode MS"/>
      <family val="2"/>
    </font>
    <font>
      <sz val="14"/>
      <name val="Calibri"/>
      <family val="2"/>
    </font>
    <font>
      <b/>
      <sz val="10"/>
      <name val="Arial Unicode MS"/>
    </font>
    <font>
      <sz val="1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22" fillId="0" borderId="0"/>
  </cellStyleXfs>
  <cellXfs count="78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15" fillId="0" borderId="20" xfId="0" applyFont="1" applyBorder="1" applyAlignment="1">
      <alignment horizontal="center" textRotation="90" wrapText="1"/>
    </xf>
    <xf numFmtId="0" fontId="14" fillId="0" borderId="21" xfId="0" applyFont="1" applyBorder="1" applyAlignment="1">
      <alignment horizontal="center" textRotation="90" wrapText="1"/>
    </xf>
    <xf numFmtId="0" fontId="11" fillId="0" borderId="21" xfId="0" applyFont="1" applyBorder="1" applyAlignment="1">
      <alignment horizontal="center" textRotation="90" wrapText="1"/>
    </xf>
    <xf numFmtId="0" fontId="16" fillId="0" borderId="22" xfId="0" applyFont="1" applyBorder="1" applyAlignment="1">
      <alignment horizontal="center" textRotation="90" wrapText="1"/>
    </xf>
    <xf numFmtId="0" fontId="11" fillId="0" borderId="23" xfId="0" applyFont="1" applyBorder="1" applyAlignment="1">
      <alignment horizontal="center" textRotation="90" wrapText="1"/>
    </xf>
    <xf numFmtId="0" fontId="17" fillId="0" borderId="21" xfId="0" applyFont="1" applyBorder="1" applyAlignment="1">
      <alignment horizontal="center" textRotation="90" wrapText="1"/>
    </xf>
    <xf numFmtId="0" fontId="11" fillId="0" borderId="22" xfId="0" applyFont="1" applyBorder="1" applyAlignment="1">
      <alignment horizontal="center" textRotation="90" wrapText="1"/>
    </xf>
    <xf numFmtId="0" fontId="14" fillId="0" borderId="23" xfId="0" applyFont="1" applyBorder="1" applyAlignment="1">
      <alignment horizontal="left" vertical="top" textRotation="90" wrapText="1"/>
    </xf>
    <xf numFmtId="0" fontId="16" fillId="0" borderId="21" xfId="0" applyFont="1" applyBorder="1" applyAlignment="1">
      <alignment horizontal="center" textRotation="90" wrapText="1"/>
    </xf>
    <xf numFmtId="0" fontId="14" fillId="0" borderId="22" xfId="0" applyFont="1" applyBorder="1" applyAlignment="1">
      <alignment horizontal="center" textRotation="90" wrapText="1"/>
    </xf>
    <xf numFmtId="0" fontId="18" fillId="0" borderId="24" xfId="0" applyFont="1" applyBorder="1" applyAlignment="1">
      <alignment horizontal="center" textRotation="90" wrapText="1"/>
    </xf>
    <xf numFmtId="0" fontId="18" fillId="0" borderId="22" xfId="0" applyFont="1" applyBorder="1" applyAlignment="1">
      <alignment horizontal="center" textRotation="90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3" fillId="0" borderId="32" xfId="1" applyFont="1" applyBorder="1" applyAlignment="1">
      <alignment horizontal="center" textRotation="90" wrapText="1"/>
    </xf>
    <xf numFmtId="0" fontId="19" fillId="0" borderId="0" xfId="0" applyFont="1" applyAlignment="1">
      <alignment horizontal="center" vertical="center" wrapText="1"/>
    </xf>
    <xf numFmtId="0" fontId="0" fillId="0" borderId="0" xfId="0"/>
    <xf numFmtId="0" fontId="18" fillId="0" borderId="29" xfId="0" applyFont="1" applyBorder="1" applyAlignment="1">
      <alignment horizontal="center" vertical="center" wrapText="1"/>
    </xf>
    <xf numFmtId="0" fontId="7" fillId="0" borderId="31" xfId="0" applyFont="1" applyBorder="1"/>
    <xf numFmtId="0" fontId="19" fillId="0" borderId="33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7" fillId="0" borderId="34" xfId="0" applyFont="1" applyBorder="1" applyAlignment="1" applyProtection="1">
      <alignment horizontal="left" vertical="center"/>
      <protection hidden="1"/>
    </xf>
    <xf numFmtId="0" fontId="27" fillId="0" borderId="36" xfId="0" applyFont="1" applyBorder="1" applyAlignment="1" applyProtection="1">
      <alignment horizontal="left" vertical="center"/>
      <protection hidden="1"/>
    </xf>
    <xf numFmtId="0" fontId="11" fillId="0" borderId="15" xfId="0" applyFont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11" fillId="0" borderId="8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7" fillId="0" borderId="13" xfId="0" applyFont="1" applyBorder="1"/>
    <xf numFmtId="0" fontId="7" fillId="0" borderId="18" xfId="0" applyFont="1" applyBorder="1"/>
    <xf numFmtId="0" fontId="27" fillId="0" borderId="37" xfId="0" applyFont="1" applyBorder="1" applyAlignment="1" applyProtection="1">
      <alignment horizontal="left" vertical="center"/>
      <protection hidden="1"/>
    </xf>
    <xf numFmtId="0" fontId="11" fillId="0" borderId="4" xfId="0" applyFont="1" applyBorder="1" applyAlignment="1">
      <alignment horizontal="center" vertical="center" textRotation="90" wrapText="1"/>
    </xf>
    <xf numFmtId="0" fontId="7" fillId="0" borderId="14" xfId="0" applyFont="1" applyBorder="1"/>
    <xf numFmtId="0" fontId="7" fillId="0" borderId="19" xfId="0" applyFont="1" applyBorder="1"/>
    <xf numFmtId="0" fontId="24" fillId="0" borderId="5" xfId="0" applyFont="1" applyBorder="1" applyAlignment="1">
      <alignment horizontal="center" vertical="center" wrapText="1"/>
    </xf>
    <xf numFmtId="0" fontId="7" fillId="0" borderId="6" xfId="0" applyFont="1" applyBorder="1"/>
    <xf numFmtId="0" fontId="7" fillId="0" borderId="7" xfId="0" applyFont="1" applyBorder="1"/>
    <xf numFmtId="0" fontId="25" fillId="0" borderId="3" xfId="0" applyFont="1" applyBorder="1" applyAlignment="1">
      <alignment horizontal="left" vertical="center" wrapText="1"/>
    </xf>
    <xf numFmtId="0" fontId="26" fillId="0" borderId="18" xfId="0" applyFont="1" applyBorder="1"/>
    <xf numFmtId="0" fontId="11" fillId="0" borderId="11" xfId="0" applyFont="1" applyBorder="1" applyAlignment="1">
      <alignment horizontal="center" vertical="center" wrapText="1"/>
    </xf>
    <xf numFmtId="0" fontId="7" fillId="0" borderId="12" xfId="0" applyFont="1" applyBorder="1"/>
    <xf numFmtId="0" fontId="7" fillId="0" borderId="1" xfId="0" applyFont="1" applyBorder="1"/>
    <xf numFmtId="0" fontId="7" fillId="0" borderId="17" xfId="0" applyFont="1" applyBorder="1"/>
    <xf numFmtId="0" fontId="27" fillId="0" borderId="35" xfId="0" applyFont="1" applyBorder="1" applyAlignment="1" applyProtection="1">
      <alignment horizontal="left" vertical="center"/>
      <protection hidden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16" xfId="0" applyFont="1" applyBorder="1"/>
    <xf numFmtId="0" fontId="10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0" borderId="2" xfId="0" applyFont="1" applyBorder="1"/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4"/>
  <sheetViews>
    <sheetView tabSelected="1" topLeftCell="A48" workbookViewId="0">
      <selection activeCell="B44" sqref="B44:B45"/>
    </sheetView>
  </sheetViews>
  <sheetFormatPr defaultColWidth="14.42578125" defaultRowHeight="15" customHeight="1"/>
  <cols>
    <col min="1" max="1" width="3.5703125" customWidth="1"/>
    <col min="2" max="2" width="24.7109375" customWidth="1"/>
    <col min="3" max="3" width="3.140625" customWidth="1"/>
    <col min="4" max="6" width="3" customWidth="1"/>
    <col min="7" max="7" width="3.140625" customWidth="1"/>
    <col min="8" max="24" width="3" customWidth="1"/>
    <col min="25" max="26" width="3.85546875" customWidth="1"/>
    <col min="27" max="27" width="3.42578125" customWidth="1"/>
    <col min="28" max="28" width="3.28515625" customWidth="1"/>
    <col min="29" max="31" width="3" customWidth="1"/>
    <col min="32" max="32" width="3.5703125" customWidth="1"/>
    <col min="33" max="37" width="3" customWidth="1"/>
    <col min="38" max="39" width="4.7109375" customWidth="1"/>
    <col min="40" max="40" width="4.28515625" customWidth="1"/>
    <col min="41" max="41" width="4.140625" customWidth="1"/>
    <col min="42" max="42" width="3" customWidth="1"/>
    <col min="43" max="43" width="4.7109375" customWidth="1"/>
    <col min="44" max="44" width="5.5703125" customWidth="1"/>
    <col min="45" max="45" width="6.5703125" customWidth="1"/>
  </cols>
  <sheetData>
    <row r="1" spans="1:45" ht="33.75" customHeight="1">
      <c r="A1" s="1"/>
      <c r="B1" s="6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</row>
    <row r="2" spans="1:45" ht="30.75" customHeight="1">
      <c r="A2" s="2"/>
      <c r="B2" s="66" t="s">
        <v>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</row>
    <row r="3" spans="1:45" ht="28.5" customHeight="1">
      <c r="A3" s="3"/>
      <c r="B3" s="4" t="s">
        <v>2</v>
      </c>
      <c r="C3" s="76"/>
      <c r="D3" s="62"/>
      <c r="E3" s="5"/>
      <c r="F3" s="75" t="s">
        <v>3</v>
      </c>
      <c r="G3" s="36"/>
      <c r="H3" s="36"/>
      <c r="I3" s="76"/>
      <c r="J3" s="62"/>
      <c r="K3" s="5"/>
      <c r="L3" s="75" t="s">
        <v>4</v>
      </c>
      <c r="M3" s="36"/>
      <c r="N3" s="36"/>
      <c r="O3" s="36"/>
      <c r="P3" s="36"/>
      <c r="Q3" s="36"/>
      <c r="R3" s="36"/>
      <c r="S3" s="36"/>
      <c r="T3" s="36"/>
      <c r="U3" s="76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75" t="s">
        <v>5</v>
      </c>
      <c r="AJ3" s="36"/>
      <c r="AK3" s="36"/>
      <c r="AL3" s="76"/>
      <c r="AM3" s="62"/>
      <c r="AN3" s="62"/>
      <c r="AO3" s="62"/>
      <c r="AP3" s="62"/>
      <c r="AQ3" s="62"/>
      <c r="AR3" s="6"/>
      <c r="AS3" s="6"/>
    </row>
    <row r="4" spans="1:45" ht="15.75" customHeight="1">
      <c r="A4" s="7"/>
      <c r="B4" s="8"/>
      <c r="C4" s="9"/>
      <c r="D4" s="9"/>
      <c r="E4" s="9"/>
      <c r="F4" s="10"/>
      <c r="G4" s="10"/>
      <c r="H4" s="10"/>
      <c r="I4" s="10"/>
      <c r="J4" s="9"/>
      <c r="K4" s="9"/>
      <c r="L4" s="9"/>
      <c r="M4" s="9"/>
      <c r="N4" s="10"/>
      <c r="O4" s="10"/>
      <c r="P4" s="10"/>
      <c r="Q4" s="10"/>
      <c r="R4" s="10"/>
      <c r="S4" s="10"/>
      <c r="T4" s="9"/>
      <c r="U4" s="9"/>
      <c r="V4" s="8"/>
      <c r="W4" s="8"/>
      <c r="X4" s="8"/>
      <c r="Y4" s="8"/>
      <c r="Z4" s="10"/>
      <c r="AA4" s="10"/>
      <c r="AB4" s="7"/>
      <c r="AC4" s="7"/>
      <c r="AD4" s="10"/>
      <c r="AE4" s="10"/>
      <c r="AF4" s="10"/>
      <c r="AG4" s="10"/>
      <c r="AH4" s="7"/>
      <c r="AI4" s="7"/>
      <c r="AJ4" s="73"/>
      <c r="AK4" s="74"/>
      <c r="AL4" s="74"/>
      <c r="AM4" s="74"/>
      <c r="AN4" s="74"/>
      <c r="AO4" s="74"/>
      <c r="AP4" s="74"/>
      <c r="AQ4" s="74"/>
      <c r="AR4" s="74"/>
      <c r="AS4" s="74"/>
    </row>
    <row r="5" spans="1:45" ht="25.5" customHeight="1">
      <c r="A5" s="11"/>
      <c r="B5" s="48" t="s">
        <v>6</v>
      </c>
      <c r="C5" s="52" t="s">
        <v>7</v>
      </c>
      <c r="D5" s="72" t="s">
        <v>8</v>
      </c>
      <c r="E5" s="56"/>
      <c r="F5" s="56"/>
      <c r="G5" s="56"/>
      <c r="H5" s="57"/>
      <c r="I5" s="55" t="s">
        <v>9</v>
      </c>
      <c r="J5" s="56"/>
      <c r="K5" s="56"/>
      <c r="L5" s="56"/>
      <c r="M5" s="57"/>
      <c r="N5" s="67" t="s">
        <v>65</v>
      </c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6"/>
      <c r="AA5" s="68" t="s">
        <v>10</v>
      </c>
      <c r="AB5" s="56"/>
      <c r="AC5" s="56"/>
      <c r="AD5" s="56"/>
      <c r="AE5" s="56"/>
      <c r="AF5" s="56"/>
      <c r="AG5" s="57"/>
      <c r="AH5" s="69" t="s">
        <v>11</v>
      </c>
      <c r="AI5" s="70"/>
      <c r="AJ5" s="70"/>
      <c r="AK5" s="70"/>
      <c r="AL5" s="70"/>
      <c r="AM5" s="70"/>
      <c r="AN5" s="70"/>
      <c r="AO5" s="70"/>
      <c r="AP5" s="70"/>
      <c r="AQ5" s="61"/>
      <c r="AR5" s="60" t="s">
        <v>12</v>
      </c>
      <c r="AS5" s="61"/>
    </row>
    <row r="6" spans="1:45" ht="36.75" customHeight="1">
      <c r="A6" s="7"/>
      <c r="B6" s="49"/>
      <c r="C6" s="53"/>
      <c r="D6" s="44" t="s">
        <v>13</v>
      </c>
      <c r="E6" s="45"/>
      <c r="F6" s="45"/>
      <c r="G6" s="45"/>
      <c r="H6" s="46"/>
      <c r="I6" s="44" t="s">
        <v>14</v>
      </c>
      <c r="J6" s="45"/>
      <c r="K6" s="45"/>
      <c r="L6" s="45"/>
      <c r="M6" s="46"/>
      <c r="N6" s="44" t="s">
        <v>15</v>
      </c>
      <c r="O6" s="45"/>
      <c r="P6" s="46"/>
      <c r="Q6" s="47" t="s">
        <v>16</v>
      </c>
      <c r="R6" s="45"/>
      <c r="S6" s="45"/>
      <c r="T6" s="46"/>
      <c r="U6" s="47" t="s">
        <v>17</v>
      </c>
      <c r="V6" s="45"/>
      <c r="W6" s="45"/>
      <c r="X6" s="46"/>
      <c r="Y6" s="77" t="s">
        <v>18</v>
      </c>
      <c r="Z6" s="46"/>
      <c r="AA6" s="44" t="s">
        <v>19</v>
      </c>
      <c r="AB6" s="45"/>
      <c r="AC6" s="46"/>
      <c r="AD6" s="47" t="s">
        <v>20</v>
      </c>
      <c r="AE6" s="45"/>
      <c r="AF6" s="45"/>
      <c r="AG6" s="46"/>
      <c r="AH6" s="71"/>
      <c r="AI6" s="62"/>
      <c r="AJ6" s="62"/>
      <c r="AK6" s="62"/>
      <c r="AL6" s="62"/>
      <c r="AM6" s="62"/>
      <c r="AN6" s="62"/>
      <c r="AO6" s="62"/>
      <c r="AP6" s="62"/>
      <c r="AQ6" s="63"/>
      <c r="AR6" s="62"/>
      <c r="AS6" s="63"/>
    </row>
    <row r="7" spans="1:45" ht="181.5" customHeight="1" thickBot="1">
      <c r="A7" s="7"/>
      <c r="B7" s="50"/>
      <c r="C7" s="54"/>
      <c r="D7" s="12" t="s">
        <v>54</v>
      </c>
      <c r="E7" s="12" t="s">
        <v>55</v>
      </c>
      <c r="F7" s="12" t="s">
        <v>56</v>
      </c>
      <c r="G7" s="12" t="s">
        <v>57</v>
      </c>
      <c r="H7" s="13" t="s">
        <v>21</v>
      </c>
      <c r="I7" s="12" t="s">
        <v>58</v>
      </c>
      <c r="J7" s="14" t="s">
        <v>22</v>
      </c>
      <c r="K7" s="12" t="s">
        <v>59</v>
      </c>
      <c r="L7" s="13" t="s">
        <v>23</v>
      </c>
      <c r="M7" s="15" t="s">
        <v>24</v>
      </c>
      <c r="N7" s="16" t="s">
        <v>25</v>
      </c>
      <c r="O7" s="14" t="s">
        <v>26</v>
      </c>
      <c r="P7" s="14" t="s">
        <v>27</v>
      </c>
      <c r="Q7" s="14" t="s">
        <v>28</v>
      </c>
      <c r="R7" s="34" t="s">
        <v>60</v>
      </c>
      <c r="S7" s="34" t="s">
        <v>61</v>
      </c>
      <c r="T7" s="34" t="s">
        <v>62</v>
      </c>
      <c r="U7" s="14" t="s">
        <v>29</v>
      </c>
      <c r="V7" s="14" t="s">
        <v>30</v>
      </c>
      <c r="W7" s="14" t="s">
        <v>31</v>
      </c>
      <c r="X7" s="17" t="s">
        <v>32</v>
      </c>
      <c r="Y7" s="14" t="s">
        <v>33</v>
      </c>
      <c r="Z7" s="14" t="s">
        <v>34</v>
      </c>
      <c r="AA7" s="14" t="s">
        <v>35</v>
      </c>
      <c r="AB7" s="14" t="s">
        <v>36</v>
      </c>
      <c r="AC7" s="14" t="s">
        <v>37</v>
      </c>
      <c r="AD7" s="14" t="s">
        <v>38</v>
      </c>
      <c r="AE7" s="14" t="s">
        <v>39</v>
      </c>
      <c r="AF7" s="34" t="s">
        <v>63</v>
      </c>
      <c r="AG7" s="34" t="s">
        <v>64</v>
      </c>
      <c r="AH7" s="17" t="s">
        <v>40</v>
      </c>
      <c r="AI7" s="18" t="s">
        <v>41</v>
      </c>
      <c r="AJ7" s="19" t="s">
        <v>42</v>
      </c>
      <c r="AK7" s="13" t="s">
        <v>43</v>
      </c>
      <c r="AL7" s="13" t="s">
        <v>44</v>
      </c>
      <c r="AM7" s="13" t="s">
        <v>45</v>
      </c>
      <c r="AN7" s="13" t="s">
        <v>46</v>
      </c>
      <c r="AO7" s="13" t="s">
        <v>47</v>
      </c>
      <c r="AP7" s="20" t="s">
        <v>48</v>
      </c>
      <c r="AQ7" s="21" t="s">
        <v>49</v>
      </c>
      <c r="AR7" s="22" t="s">
        <v>50</v>
      </c>
      <c r="AS7" s="23" t="s">
        <v>51</v>
      </c>
    </row>
    <row r="8" spans="1:45" ht="16.5" customHeight="1" thickBot="1">
      <c r="A8" s="35">
        <v>1</v>
      </c>
      <c r="B8" s="51" t="s">
        <v>66</v>
      </c>
      <c r="C8" s="24">
        <v>1</v>
      </c>
      <c r="D8" s="25"/>
      <c r="E8" s="26"/>
      <c r="F8" s="26"/>
      <c r="G8" s="26"/>
      <c r="H8" s="26"/>
      <c r="I8" s="26"/>
      <c r="J8" s="26"/>
      <c r="K8" s="27"/>
      <c r="L8" s="25"/>
      <c r="M8" s="26"/>
      <c r="N8" s="26"/>
      <c r="O8" s="26"/>
      <c r="P8" s="26"/>
      <c r="Q8" s="27"/>
      <c r="R8" s="25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7"/>
      <c r="AJ8" s="25"/>
      <c r="AK8" s="26"/>
      <c r="AL8" s="26"/>
      <c r="AM8" s="26"/>
      <c r="AN8" s="26"/>
      <c r="AO8" s="26"/>
      <c r="AP8" s="26"/>
      <c r="AQ8" s="27"/>
      <c r="AR8" s="28">
        <f t="shared" ref="AR8:AR51" si="0">SUM(D8:AQ8)</f>
        <v>0</v>
      </c>
      <c r="AS8" s="37">
        <f>ROUND((AR8+AR9)/2,0)</f>
        <v>0</v>
      </c>
    </row>
    <row r="9" spans="1:45" ht="16.5" customHeight="1" thickBot="1">
      <c r="A9" s="36"/>
      <c r="B9" s="43"/>
      <c r="C9" s="29">
        <v>2</v>
      </c>
      <c r="D9" s="30"/>
      <c r="E9" s="31"/>
      <c r="F9" s="31"/>
      <c r="G9" s="31"/>
      <c r="H9" s="31"/>
      <c r="I9" s="31"/>
      <c r="J9" s="31"/>
      <c r="K9" s="32"/>
      <c r="L9" s="30"/>
      <c r="M9" s="31"/>
      <c r="N9" s="31"/>
      <c r="O9" s="31"/>
      <c r="P9" s="31"/>
      <c r="Q9" s="32"/>
      <c r="R9" s="30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2"/>
      <c r="AJ9" s="30"/>
      <c r="AK9" s="31"/>
      <c r="AL9" s="31"/>
      <c r="AM9" s="31"/>
      <c r="AN9" s="31"/>
      <c r="AO9" s="31"/>
      <c r="AP9" s="31"/>
      <c r="AQ9" s="32"/>
      <c r="AR9" s="28">
        <f t="shared" si="0"/>
        <v>0</v>
      </c>
      <c r="AS9" s="38"/>
    </row>
    <row r="10" spans="1:45" ht="16.5" customHeight="1" thickBot="1">
      <c r="A10" s="35">
        <v>2</v>
      </c>
      <c r="B10" s="42" t="s">
        <v>67</v>
      </c>
      <c r="C10" s="24">
        <v>1</v>
      </c>
      <c r="D10" s="25"/>
      <c r="E10" s="26"/>
      <c r="F10" s="26"/>
      <c r="G10" s="26"/>
      <c r="H10" s="26"/>
      <c r="I10" s="26"/>
      <c r="J10" s="26"/>
      <c r="K10" s="27"/>
      <c r="L10" s="25"/>
      <c r="M10" s="26"/>
      <c r="N10" s="26"/>
      <c r="O10" s="26"/>
      <c r="P10" s="26"/>
      <c r="Q10" s="27"/>
      <c r="R10" s="25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7"/>
      <c r="AJ10" s="25"/>
      <c r="AK10" s="26"/>
      <c r="AL10" s="26"/>
      <c r="AM10" s="26"/>
      <c r="AN10" s="26"/>
      <c r="AO10" s="26"/>
      <c r="AP10" s="26"/>
      <c r="AQ10" s="27"/>
      <c r="AR10" s="28">
        <f t="shared" si="0"/>
        <v>0</v>
      </c>
      <c r="AS10" s="37">
        <f>ROUND((AR10+AR11)/2,0)</f>
        <v>0</v>
      </c>
    </row>
    <row r="11" spans="1:45" ht="16.5" customHeight="1" thickBot="1">
      <c r="A11" s="36"/>
      <c r="B11" s="43"/>
      <c r="C11" s="29">
        <v>2</v>
      </c>
      <c r="D11" s="30"/>
      <c r="E11" s="31"/>
      <c r="F11" s="31"/>
      <c r="G11" s="31"/>
      <c r="H11" s="31"/>
      <c r="I11" s="31"/>
      <c r="J11" s="31"/>
      <c r="K11" s="32"/>
      <c r="L11" s="30"/>
      <c r="M11" s="31"/>
      <c r="N11" s="31"/>
      <c r="O11" s="31"/>
      <c r="P11" s="31"/>
      <c r="Q11" s="32"/>
      <c r="R11" s="30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2"/>
      <c r="AJ11" s="30"/>
      <c r="AK11" s="31"/>
      <c r="AL11" s="31"/>
      <c r="AM11" s="31"/>
      <c r="AN11" s="31"/>
      <c r="AO11" s="31"/>
      <c r="AP11" s="31"/>
      <c r="AQ11" s="32"/>
      <c r="AR11" s="28">
        <f t="shared" si="0"/>
        <v>0</v>
      </c>
      <c r="AS11" s="38"/>
    </row>
    <row r="12" spans="1:45" ht="16.5" customHeight="1" thickBot="1">
      <c r="A12" s="35">
        <v>3</v>
      </c>
      <c r="B12" s="42" t="s">
        <v>68</v>
      </c>
      <c r="C12" s="24">
        <v>1</v>
      </c>
      <c r="D12" s="25"/>
      <c r="E12" s="26"/>
      <c r="F12" s="26"/>
      <c r="G12" s="26"/>
      <c r="H12" s="26"/>
      <c r="I12" s="26"/>
      <c r="J12" s="26"/>
      <c r="K12" s="27"/>
      <c r="L12" s="25"/>
      <c r="M12" s="26"/>
      <c r="N12" s="26"/>
      <c r="O12" s="26"/>
      <c r="P12" s="26"/>
      <c r="Q12" s="27"/>
      <c r="R12" s="25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7"/>
      <c r="AJ12" s="25"/>
      <c r="AK12" s="26"/>
      <c r="AL12" s="26"/>
      <c r="AM12" s="26"/>
      <c r="AN12" s="26"/>
      <c r="AO12" s="26"/>
      <c r="AP12" s="26"/>
      <c r="AQ12" s="27"/>
      <c r="AR12" s="28">
        <f t="shared" si="0"/>
        <v>0</v>
      </c>
      <c r="AS12" s="37">
        <f>ROUND((AR12+AR13)/2,0)</f>
        <v>0</v>
      </c>
    </row>
    <row r="13" spans="1:45" ht="16.5" customHeight="1" thickBot="1">
      <c r="A13" s="36"/>
      <c r="B13" s="43"/>
      <c r="C13" s="29">
        <v>2</v>
      </c>
      <c r="D13" s="30"/>
      <c r="E13" s="31"/>
      <c r="F13" s="31"/>
      <c r="G13" s="31"/>
      <c r="H13" s="31"/>
      <c r="I13" s="31"/>
      <c r="J13" s="31"/>
      <c r="K13" s="32"/>
      <c r="L13" s="30"/>
      <c r="M13" s="31"/>
      <c r="N13" s="31"/>
      <c r="O13" s="31"/>
      <c r="P13" s="31"/>
      <c r="Q13" s="32"/>
      <c r="R13" s="30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2"/>
      <c r="AJ13" s="30"/>
      <c r="AK13" s="31"/>
      <c r="AL13" s="31"/>
      <c r="AM13" s="31"/>
      <c r="AN13" s="31"/>
      <c r="AO13" s="31"/>
      <c r="AP13" s="31"/>
      <c r="AQ13" s="32"/>
      <c r="AR13" s="28">
        <f t="shared" si="0"/>
        <v>0</v>
      </c>
      <c r="AS13" s="38"/>
    </row>
    <row r="14" spans="1:45" ht="16.5" customHeight="1" thickBot="1">
      <c r="A14" s="35">
        <v>4</v>
      </c>
      <c r="B14" s="42" t="s">
        <v>69</v>
      </c>
      <c r="C14" s="24">
        <v>1</v>
      </c>
      <c r="D14" s="25"/>
      <c r="E14" s="26"/>
      <c r="F14" s="26"/>
      <c r="G14" s="26"/>
      <c r="H14" s="26"/>
      <c r="I14" s="26"/>
      <c r="J14" s="26"/>
      <c r="K14" s="27"/>
      <c r="L14" s="25"/>
      <c r="M14" s="26"/>
      <c r="N14" s="26"/>
      <c r="O14" s="26"/>
      <c r="P14" s="26"/>
      <c r="Q14" s="27"/>
      <c r="R14" s="25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7"/>
      <c r="AJ14" s="25"/>
      <c r="AK14" s="26"/>
      <c r="AL14" s="26"/>
      <c r="AM14" s="26"/>
      <c r="AN14" s="26"/>
      <c r="AO14" s="26"/>
      <c r="AP14" s="26"/>
      <c r="AQ14" s="27"/>
      <c r="AR14" s="28">
        <f t="shared" si="0"/>
        <v>0</v>
      </c>
      <c r="AS14" s="37">
        <f>ROUND((AR14+AR15)/2,0)</f>
        <v>0</v>
      </c>
    </row>
    <row r="15" spans="1:45" ht="16.5" customHeight="1" thickBot="1">
      <c r="A15" s="36"/>
      <c r="B15" s="43"/>
      <c r="C15" s="29">
        <v>2</v>
      </c>
      <c r="D15" s="30"/>
      <c r="E15" s="31"/>
      <c r="F15" s="31"/>
      <c r="G15" s="31"/>
      <c r="H15" s="31"/>
      <c r="I15" s="31"/>
      <c r="J15" s="31"/>
      <c r="K15" s="32"/>
      <c r="L15" s="30"/>
      <c r="M15" s="31"/>
      <c r="N15" s="31"/>
      <c r="O15" s="31"/>
      <c r="P15" s="31"/>
      <c r="Q15" s="32"/>
      <c r="R15" s="30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2"/>
      <c r="AJ15" s="30"/>
      <c r="AK15" s="31"/>
      <c r="AL15" s="31"/>
      <c r="AM15" s="31"/>
      <c r="AN15" s="31"/>
      <c r="AO15" s="31"/>
      <c r="AP15" s="31"/>
      <c r="AQ15" s="32"/>
      <c r="AR15" s="28">
        <f t="shared" si="0"/>
        <v>0</v>
      </c>
      <c r="AS15" s="38"/>
    </row>
    <row r="16" spans="1:45" ht="16.5" customHeight="1" thickBot="1">
      <c r="A16" s="35">
        <v>5</v>
      </c>
      <c r="B16" s="42" t="s">
        <v>70</v>
      </c>
      <c r="C16" s="24">
        <v>1</v>
      </c>
      <c r="D16" s="25"/>
      <c r="E16" s="26"/>
      <c r="F16" s="26"/>
      <c r="G16" s="26"/>
      <c r="H16" s="26"/>
      <c r="I16" s="26"/>
      <c r="J16" s="26"/>
      <c r="K16" s="27"/>
      <c r="L16" s="25"/>
      <c r="M16" s="26"/>
      <c r="N16" s="26"/>
      <c r="O16" s="26"/>
      <c r="P16" s="26"/>
      <c r="Q16" s="27"/>
      <c r="R16" s="25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7"/>
      <c r="AJ16" s="25"/>
      <c r="AK16" s="26"/>
      <c r="AL16" s="26"/>
      <c r="AM16" s="26"/>
      <c r="AN16" s="26"/>
      <c r="AO16" s="26"/>
      <c r="AP16" s="26"/>
      <c r="AQ16" s="27"/>
      <c r="AR16" s="28">
        <f t="shared" si="0"/>
        <v>0</v>
      </c>
      <c r="AS16" s="37">
        <f>ROUND((AR16+AR17)/2,0)</f>
        <v>0</v>
      </c>
    </row>
    <row r="17" spans="1:45" ht="16.5" customHeight="1" thickBot="1">
      <c r="A17" s="36"/>
      <c r="B17" s="43"/>
      <c r="C17" s="29">
        <v>2</v>
      </c>
      <c r="D17" s="30"/>
      <c r="E17" s="31"/>
      <c r="F17" s="31"/>
      <c r="G17" s="31"/>
      <c r="H17" s="31"/>
      <c r="I17" s="31"/>
      <c r="J17" s="31"/>
      <c r="K17" s="32"/>
      <c r="L17" s="30"/>
      <c r="M17" s="31"/>
      <c r="N17" s="31"/>
      <c r="O17" s="31"/>
      <c r="P17" s="31"/>
      <c r="Q17" s="32"/>
      <c r="R17" s="30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2"/>
      <c r="AJ17" s="30"/>
      <c r="AK17" s="31"/>
      <c r="AL17" s="31"/>
      <c r="AM17" s="31"/>
      <c r="AN17" s="31"/>
      <c r="AO17" s="31"/>
      <c r="AP17" s="31"/>
      <c r="AQ17" s="32"/>
      <c r="AR17" s="28">
        <f t="shared" si="0"/>
        <v>0</v>
      </c>
      <c r="AS17" s="38"/>
    </row>
    <row r="18" spans="1:45" ht="16.5" customHeight="1" thickBot="1">
      <c r="A18" s="35">
        <v>6</v>
      </c>
      <c r="B18" s="42" t="s">
        <v>71</v>
      </c>
      <c r="C18" s="24">
        <v>1</v>
      </c>
      <c r="D18" s="25"/>
      <c r="E18" s="26"/>
      <c r="F18" s="26"/>
      <c r="G18" s="26"/>
      <c r="H18" s="26"/>
      <c r="I18" s="26"/>
      <c r="J18" s="26"/>
      <c r="K18" s="27"/>
      <c r="L18" s="25"/>
      <c r="M18" s="26"/>
      <c r="N18" s="26"/>
      <c r="O18" s="26"/>
      <c r="P18" s="26"/>
      <c r="Q18" s="27"/>
      <c r="R18" s="25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7"/>
      <c r="AJ18" s="25"/>
      <c r="AK18" s="26"/>
      <c r="AL18" s="26"/>
      <c r="AM18" s="26"/>
      <c r="AN18" s="26"/>
      <c r="AO18" s="26"/>
      <c r="AP18" s="26"/>
      <c r="AQ18" s="27"/>
      <c r="AR18" s="28">
        <f t="shared" si="0"/>
        <v>0</v>
      </c>
      <c r="AS18" s="37">
        <f>ROUND((AR18+AR19)/2,0)</f>
        <v>0</v>
      </c>
    </row>
    <row r="19" spans="1:45" ht="16.5" customHeight="1" thickBot="1">
      <c r="A19" s="36"/>
      <c r="B19" s="43"/>
      <c r="C19" s="29">
        <v>2</v>
      </c>
      <c r="D19" s="30"/>
      <c r="E19" s="31"/>
      <c r="F19" s="31"/>
      <c r="G19" s="31"/>
      <c r="H19" s="31"/>
      <c r="I19" s="31"/>
      <c r="J19" s="31"/>
      <c r="K19" s="32"/>
      <c r="L19" s="30"/>
      <c r="M19" s="31"/>
      <c r="N19" s="31"/>
      <c r="O19" s="31"/>
      <c r="P19" s="31"/>
      <c r="Q19" s="32"/>
      <c r="R19" s="30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2"/>
      <c r="AJ19" s="30"/>
      <c r="AK19" s="31"/>
      <c r="AL19" s="31"/>
      <c r="AM19" s="31"/>
      <c r="AN19" s="31"/>
      <c r="AO19" s="31"/>
      <c r="AP19" s="31"/>
      <c r="AQ19" s="32"/>
      <c r="AR19" s="28">
        <f t="shared" si="0"/>
        <v>0</v>
      </c>
      <c r="AS19" s="38"/>
    </row>
    <row r="20" spans="1:45" ht="16.5" customHeight="1" thickBot="1">
      <c r="A20" s="35">
        <v>7</v>
      </c>
      <c r="B20" s="42" t="s">
        <v>72</v>
      </c>
      <c r="C20" s="24">
        <v>1</v>
      </c>
      <c r="D20" s="25"/>
      <c r="E20" s="26"/>
      <c r="F20" s="26"/>
      <c r="G20" s="26"/>
      <c r="H20" s="26"/>
      <c r="I20" s="26"/>
      <c r="J20" s="26"/>
      <c r="K20" s="27"/>
      <c r="L20" s="25"/>
      <c r="M20" s="26"/>
      <c r="N20" s="26"/>
      <c r="O20" s="26"/>
      <c r="P20" s="26"/>
      <c r="Q20" s="27"/>
      <c r="R20" s="25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7"/>
      <c r="AJ20" s="25"/>
      <c r="AK20" s="26"/>
      <c r="AL20" s="26"/>
      <c r="AM20" s="26"/>
      <c r="AN20" s="26"/>
      <c r="AO20" s="26"/>
      <c r="AP20" s="26"/>
      <c r="AQ20" s="27"/>
      <c r="AR20" s="28">
        <f t="shared" si="0"/>
        <v>0</v>
      </c>
      <c r="AS20" s="37">
        <f>ROUND((AR20+AR21)/2,0)</f>
        <v>0</v>
      </c>
    </row>
    <row r="21" spans="1:45" ht="16.5" customHeight="1" thickBot="1">
      <c r="A21" s="36"/>
      <c r="B21" s="43"/>
      <c r="C21" s="29">
        <v>2</v>
      </c>
      <c r="D21" s="30"/>
      <c r="E21" s="31"/>
      <c r="F21" s="31"/>
      <c r="G21" s="31"/>
      <c r="H21" s="31"/>
      <c r="I21" s="31"/>
      <c r="J21" s="31"/>
      <c r="K21" s="32"/>
      <c r="L21" s="30"/>
      <c r="M21" s="31"/>
      <c r="N21" s="31"/>
      <c r="O21" s="31"/>
      <c r="P21" s="31"/>
      <c r="Q21" s="32"/>
      <c r="R21" s="30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2"/>
      <c r="AJ21" s="30"/>
      <c r="AK21" s="31"/>
      <c r="AL21" s="31"/>
      <c r="AM21" s="31"/>
      <c r="AN21" s="31"/>
      <c r="AO21" s="31"/>
      <c r="AP21" s="31"/>
      <c r="AQ21" s="32"/>
      <c r="AR21" s="28">
        <f t="shared" si="0"/>
        <v>0</v>
      </c>
      <c r="AS21" s="38"/>
    </row>
    <row r="22" spans="1:45" ht="16.5" customHeight="1" thickBot="1">
      <c r="A22" s="35">
        <v>8</v>
      </c>
      <c r="B22" s="42" t="s">
        <v>73</v>
      </c>
      <c r="C22" s="24">
        <v>1</v>
      </c>
      <c r="D22" s="25"/>
      <c r="E22" s="26"/>
      <c r="F22" s="26"/>
      <c r="G22" s="26"/>
      <c r="H22" s="26"/>
      <c r="I22" s="26"/>
      <c r="J22" s="26"/>
      <c r="K22" s="27"/>
      <c r="L22" s="25"/>
      <c r="M22" s="26"/>
      <c r="N22" s="26"/>
      <c r="O22" s="26"/>
      <c r="P22" s="26"/>
      <c r="Q22" s="27"/>
      <c r="R22" s="25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7"/>
      <c r="AJ22" s="25"/>
      <c r="AK22" s="26"/>
      <c r="AL22" s="26"/>
      <c r="AM22" s="26"/>
      <c r="AN22" s="26"/>
      <c r="AO22" s="26"/>
      <c r="AP22" s="26"/>
      <c r="AQ22" s="27"/>
      <c r="AR22" s="28">
        <f t="shared" si="0"/>
        <v>0</v>
      </c>
      <c r="AS22" s="37">
        <f>ROUND((AR22+AR23)/2,0)</f>
        <v>0</v>
      </c>
    </row>
    <row r="23" spans="1:45" ht="16.5" customHeight="1" thickBot="1">
      <c r="A23" s="36"/>
      <c r="B23" s="43"/>
      <c r="C23" s="29">
        <v>2</v>
      </c>
      <c r="D23" s="30"/>
      <c r="E23" s="31"/>
      <c r="F23" s="31"/>
      <c r="G23" s="31"/>
      <c r="H23" s="31"/>
      <c r="I23" s="31"/>
      <c r="J23" s="31"/>
      <c r="K23" s="32"/>
      <c r="L23" s="30"/>
      <c r="M23" s="31"/>
      <c r="N23" s="31"/>
      <c r="O23" s="31"/>
      <c r="P23" s="31"/>
      <c r="Q23" s="32"/>
      <c r="R23" s="30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2"/>
      <c r="AJ23" s="30"/>
      <c r="AK23" s="31"/>
      <c r="AL23" s="31"/>
      <c r="AM23" s="31"/>
      <c r="AN23" s="31"/>
      <c r="AO23" s="31"/>
      <c r="AP23" s="31"/>
      <c r="AQ23" s="32"/>
      <c r="AR23" s="28">
        <f t="shared" si="0"/>
        <v>0</v>
      </c>
      <c r="AS23" s="38"/>
    </row>
    <row r="24" spans="1:45" ht="16.5" customHeight="1" thickBot="1">
      <c r="A24" s="39">
        <v>9</v>
      </c>
      <c r="B24" s="42" t="s">
        <v>74</v>
      </c>
      <c r="C24" s="24">
        <v>1</v>
      </c>
      <c r="D24" s="25"/>
      <c r="E24" s="26"/>
      <c r="F24" s="26"/>
      <c r="G24" s="26"/>
      <c r="H24" s="26"/>
      <c r="I24" s="26"/>
      <c r="J24" s="26"/>
      <c r="K24" s="27"/>
      <c r="L24" s="25"/>
      <c r="M24" s="26"/>
      <c r="N24" s="26"/>
      <c r="O24" s="26"/>
      <c r="P24" s="26"/>
      <c r="Q24" s="27"/>
      <c r="R24" s="25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7"/>
      <c r="AJ24" s="25"/>
      <c r="AK24" s="26"/>
      <c r="AL24" s="26"/>
      <c r="AM24" s="26"/>
      <c r="AN24" s="26"/>
      <c r="AO24" s="26"/>
      <c r="AP24" s="26"/>
      <c r="AQ24" s="27"/>
      <c r="AR24" s="28">
        <f t="shared" si="0"/>
        <v>0</v>
      </c>
      <c r="AS24" s="37">
        <f>ROUND((AR24+AR25)/2,0)</f>
        <v>0</v>
      </c>
    </row>
    <row r="25" spans="1:45" ht="16.5" customHeight="1" thickBot="1">
      <c r="A25" s="39"/>
      <c r="B25" s="43"/>
      <c r="C25" s="29">
        <v>2</v>
      </c>
      <c r="D25" s="30"/>
      <c r="E25" s="31"/>
      <c r="F25" s="31"/>
      <c r="G25" s="31"/>
      <c r="H25" s="31"/>
      <c r="I25" s="31"/>
      <c r="J25" s="31"/>
      <c r="K25" s="32"/>
      <c r="L25" s="30"/>
      <c r="M25" s="31"/>
      <c r="N25" s="31"/>
      <c r="O25" s="31"/>
      <c r="P25" s="31"/>
      <c r="Q25" s="32"/>
      <c r="R25" s="30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2"/>
      <c r="AJ25" s="30"/>
      <c r="AK25" s="31"/>
      <c r="AL25" s="31"/>
      <c r="AM25" s="31"/>
      <c r="AN25" s="31"/>
      <c r="AO25" s="31"/>
      <c r="AP25" s="31"/>
      <c r="AQ25" s="32"/>
      <c r="AR25" s="28">
        <f t="shared" si="0"/>
        <v>0</v>
      </c>
      <c r="AS25" s="40"/>
    </row>
    <row r="26" spans="1:45" ht="16.5" customHeight="1" thickBot="1">
      <c r="A26" s="39">
        <v>10</v>
      </c>
      <c r="B26" s="42" t="s">
        <v>75</v>
      </c>
      <c r="C26" s="24">
        <v>1</v>
      </c>
      <c r="D26" s="25"/>
      <c r="E26" s="26"/>
      <c r="F26" s="26"/>
      <c r="G26" s="26"/>
      <c r="H26" s="26"/>
      <c r="I26" s="26"/>
      <c r="J26" s="26"/>
      <c r="K26" s="27"/>
      <c r="L26" s="25"/>
      <c r="M26" s="26"/>
      <c r="N26" s="26"/>
      <c r="O26" s="26"/>
      <c r="P26" s="26"/>
      <c r="Q26" s="27"/>
      <c r="R26" s="25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7"/>
      <c r="AJ26" s="25"/>
      <c r="AK26" s="26"/>
      <c r="AL26" s="26"/>
      <c r="AM26" s="26"/>
      <c r="AN26" s="26"/>
      <c r="AO26" s="26"/>
      <c r="AP26" s="26"/>
      <c r="AQ26" s="27"/>
      <c r="AR26" s="28">
        <f t="shared" si="0"/>
        <v>0</v>
      </c>
      <c r="AS26" s="37">
        <f>ROUND((AR26+AR27)/2,0)</f>
        <v>0</v>
      </c>
    </row>
    <row r="27" spans="1:45" ht="16.5" customHeight="1" thickBot="1">
      <c r="A27" s="39"/>
      <c r="B27" s="43"/>
      <c r="C27" s="29">
        <v>2</v>
      </c>
      <c r="D27" s="30"/>
      <c r="E27" s="31"/>
      <c r="F27" s="31"/>
      <c r="G27" s="31"/>
      <c r="H27" s="31"/>
      <c r="I27" s="31"/>
      <c r="J27" s="31"/>
      <c r="K27" s="32"/>
      <c r="L27" s="30"/>
      <c r="M27" s="31"/>
      <c r="N27" s="31"/>
      <c r="O27" s="31"/>
      <c r="P27" s="31"/>
      <c r="Q27" s="32"/>
      <c r="R27" s="30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2"/>
      <c r="AJ27" s="30"/>
      <c r="AK27" s="31"/>
      <c r="AL27" s="31"/>
      <c r="AM27" s="31"/>
      <c r="AN27" s="31"/>
      <c r="AO27" s="31"/>
      <c r="AP27" s="31"/>
      <c r="AQ27" s="32"/>
      <c r="AR27" s="28">
        <f t="shared" si="0"/>
        <v>0</v>
      </c>
      <c r="AS27" s="40"/>
    </row>
    <row r="28" spans="1:45" ht="16.5" customHeight="1" thickBot="1">
      <c r="A28" s="39">
        <v>11</v>
      </c>
      <c r="B28" s="42" t="s">
        <v>76</v>
      </c>
      <c r="C28" s="24">
        <v>1</v>
      </c>
      <c r="D28" s="25"/>
      <c r="E28" s="26"/>
      <c r="F28" s="26"/>
      <c r="G28" s="26"/>
      <c r="H28" s="26"/>
      <c r="I28" s="26"/>
      <c r="J28" s="26"/>
      <c r="K28" s="27"/>
      <c r="L28" s="25"/>
      <c r="M28" s="26"/>
      <c r="N28" s="26"/>
      <c r="O28" s="26"/>
      <c r="P28" s="26"/>
      <c r="Q28" s="27"/>
      <c r="R28" s="25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7"/>
      <c r="AJ28" s="25"/>
      <c r="AK28" s="26"/>
      <c r="AL28" s="26"/>
      <c r="AM28" s="26"/>
      <c r="AN28" s="26"/>
      <c r="AO28" s="26"/>
      <c r="AP28" s="26"/>
      <c r="AQ28" s="27"/>
      <c r="AR28" s="28">
        <f t="shared" si="0"/>
        <v>0</v>
      </c>
      <c r="AS28" s="37">
        <f>ROUND((AR28+AR29)/2,0)</f>
        <v>0</v>
      </c>
    </row>
    <row r="29" spans="1:45" ht="16.5" customHeight="1" thickBot="1">
      <c r="A29" s="39"/>
      <c r="B29" s="43"/>
      <c r="C29" s="29">
        <v>2</v>
      </c>
      <c r="D29" s="30"/>
      <c r="E29" s="31"/>
      <c r="F29" s="31"/>
      <c r="G29" s="31"/>
      <c r="H29" s="31"/>
      <c r="I29" s="31"/>
      <c r="J29" s="31"/>
      <c r="K29" s="32"/>
      <c r="L29" s="30"/>
      <c r="M29" s="31"/>
      <c r="N29" s="31"/>
      <c r="O29" s="31"/>
      <c r="P29" s="31"/>
      <c r="Q29" s="32"/>
      <c r="R29" s="30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2"/>
      <c r="AJ29" s="30"/>
      <c r="AK29" s="31"/>
      <c r="AL29" s="31"/>
      <c r="AM29" s="31"/>
      <c r="AN29" s="31"/>
      <c r="AO29" s="31"/>
      <c r="AP29" s="31"/>
      <c r="AQ29" s="32"/>
      <c r="AR29" s="28">
        <f t="shared" si="0"/>
        <v>0</v>
      </c>
      <c r="AS29" s="40"/>
    </row>
    <row r="30" spans="1:45" ht="16.5" customHeight="1" thickBot="1">
      <c r="A30" s="39">
        <v>12</v>
      </c>
      <c r="B30" s="42" t="s">
        <v>77</v>
      </c>
      <c r="C30" s="24">
        <v>1</v>
      </c>
      <c r="D30" s="25"/>
      <c r="E30" s="26"/>
      <c r="F30" s="26"/>
      <c r="G30" s="26"/>
      <c r="H30" s="26"/>
      <c r="I30" s="26"/>
      <c r="J30" s="26"/>
      <c r="K30" s="27"/>
      <c r="L30" s="25"/>
      <c r="M30" s="26"/>
      <c r="N30" s="26"/>
      <c r="O30" s="26"/>
      <c r="P30" s="26"/>
      <c r="Q30" s="27"/>
      <c r="R30" s="25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7"/>
      <c r="AJ30" s="25"/>
      <c r="AK30" s="26"/>
      <c r="AL30" s="26"/>
      <c r="AM30" s="26"/>
      <c r="AN30" s="26"/>
      <c r="AO30" s="26"/>
      <c r="AP30" s="26"/>
      <c r="AQ30" s="27"/>
      <c r="AR30" s="28">
        <f t="shared" si="0"/>
        <v>0</v>
      </c>
      <c r="AS30" s="37">
        <f>ROUND((AR30+AR31)/2,0)</f>
        <v>0</v>
      </c>
    </row>
    <row r="31" spans="1:45" ht="16.5" customHeight="1" thickBot="1">
      <c r="A31" s="39"/>
      <c r="B31" s="43"/>
      <c r="C31" s="29">
        <v>2</v>
      </c>
      <c r="D31" s="30"/>
      <c r="E31" s="31"/>
      <c r="F31" s="31"/>
      <c r="G31" s="31"/>
      <c r="H31" s="31"/>
      <c r="I31" s="31"/>
      <c r="J31" s="31"/>
      <c r="K31" s="32"/>
      <c r="L31" s="30"/>
      <c r="M31" s="31"/>
      <c r="N31" s="31"/>
      <c r="O31" s="31"/>
      <c r="P31" s="31"/>
      <c r="Q31" s="32"/>
      <c r="R31" s="30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2"/>
      <c r="AJ31" s="30"/>
      <c r="AK31" s="31"/>
      <c r="AL31" s="31"/>
      <c r="AM31" s="31"/>
      <c r="AN31" s="31"/>
      <c r="AO31" s="31"/>
      <c r="AP31" s="31"/>
      <c r="AQ31" s="32"/>
      <c r="AR31" s="28">
        <f t="shared" si="0"/>
        <v>0</v>
      </c>
      <c r="AS31" s="40"/>
    </row>
    <row r="32" spans="1:45" ht="16.5" customHeight="1" thickBot="1">
      <c r="A32" s="39">
        <v>13</v>
      </c>
      <c r="B32" s="42" t="s">
        <v>78</v>
      </c>
      <c r="C32" s="24">
        <v>1</v>
      </c>
      <c r="D32" s="25"/>
      <c r="E32" s="26"/>
      <c r="F32" s="26"/>
      <c r="G32" s="26"/>
      <c r="H32" s="26"/>
      <c r="I32" s="26"/>
      <c r="J32" s="26"/>
      <c r="K32" s="27"/>
      <c r="L32" s="25"/>
      <c r="M32" s="26"/>
      <c r="N32" s="26"/>
      <c r="O32" s="26"/>
      <c r="P32" s="26"/>
      <c r="Q32" s="27"/>
      <c r="R32" s="25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7"/>
      <c r="AJ32" s="25"/>
      <c r="AK32" s="26"/>
      <c r="AL32" s="26"/>
      <c r="AM32" s="26"/>
      <c r="AN32" s="26"/>
      <c r="AO32" s="26"/>
      <c r="AP32" s="26"/>
      <c r="AQ32" s="27"/>
      <c r="AR32" s="28">
        <f t="shared" si="0"/>
        <v>0</v>
      </c>
      <c r="AS32" s="37">
        <f>ROUND((AR32+AR33)/2,0)</f>
        <v>0</v>
      </c>
    </row>
    <row r="33" spans="1:45" ht="16.5" customHeight="1" thickBot="1">
      <c r="A33" s="39"/>
      <c r="B33" s="43"/>
      <c r="C33" s="29">
        <v>2</v>
      </c>
      <c r="D33" s="30"/>
      <c r="E33" s="31"/>
      <c r="F33" s="31"/>
      <c r="G33" s="31"/>
      <c r="H33" s="31"/>
      <c r="I33" s="31"/>
      <c r="J33" s="31"/>
      <c r="K33" s="32"/>
      <c r="L33" s="30"/>
      <c r="M33" s="31"/>
      <c r="N33" s="31"/>
      <c r="O33" s="31"/>
      <c r="P33" s="31"/>
      <c r="Q33" s="32"/>
      <c r="R33" s="30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2"/>
      <c r="AJ33" s="30"/>
      <c r="AK33" s="31"/>
      <c r="AL33" s="31"/>
      <c r="AM33" s="31"/>
      <c r="AN33" s="31"/>
      <c r="AO33" s="31"/>
      <c r="AP33" s="31"/>
      <c r="AQ33" s="32"/>
      <c r="AR33" s="28">
        <f t="shared" si="0"/>
        <v>0</v>
      </c>
      <c r="AS33" s="40"/>
    </row>
    <row r="34" spans="1:45" ht="16.5" customHeight="1" thickBot="1">
      <c r="A34" s="39">
        <v>14</v>
      </c>
      <c r="B34" s="42" t="s">
        <v>79</v>
      </c>
      <c r="C34" s="24">
        <v>1</v>
      </c>
      <c r="D34" s="25"/>
      <c r="E34" s="26"/>
      <c r="F34" s="26"/>
      <c r="G34" s="26"/>
      <c r="H34" s="26"/>
      <c r="I34" s="26"/>
      <c r="J34" s="26"/>
      <c r="K34" s="27"/>
      <c r="L34" s="25"/>
      <c r="M34" s="26"/>
      <c r="N34" s="26"/>
      <c r="O34" s="26"/>
      <c r="P34" s="26"/>
      <c r="Q34" s="27"/>
      <c r="R34" s="25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7"/>
      <c r="AJ34" s="25"/>
      <c r="AK34" s="26"/>
      <c r="AL34" s="26"/>
      <c r="AM34" s="26"/>
      <c r="AN34" s="26"/>
      <c r="AO34" s="26"/>
      <c r="AP34" s="26"/>
      <c r="AQ34" s="27"/>
      <c r="AR34" s="28">
        <f t="shared" si="0"/>
        <v>0</v>
      </c>
      <c r="AS34" s="37">
        <f>ROUND((AR34+AR35)/2,0)</f>
        <v>0</v>
      </c>
    </row>
    <row r="35" spans="1:45" ht="16.5" customHeight="1" thickBot="1">
      <c r="A35" s="39"/>
      <c r="B35" s="64"/>
      <c r="C35" s="29">
        <v>2</v>
      </c>
      <c r="D35" s="30"/>
      <c r="E35" s="31"/>
      <c r="F35" s="31"/>
      <c r="G35" s="31"/>
      <c r="H35" s="31"/>
      <c r="I35" s="31"/>
      <c r="J35" s="31"/>
      <c r="K35" s="32"/>
      <c r="L35" s="30"/>
      <c r="M35" s="31"/>
      <c r="N35" s="31"/>
      <c r="O35" s="31"/>
      <c r="P35" s="31"/>
      <c r="Q35" s="32"/>
      <c r="R35" s="30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  <c r="AJ35" s="30"/>
      <c r="AK35" s="31"/>
      <c r="AL35" s="31"/>
      <c r="AM35" s="31"/>
      <c r="AN35" s="31"/>
      <c r="AO35" s="31"/>
      <c r="AP35" s="31"/>
      <c r="AQ35" s="32"/>
      <c r="AR35" s="28">
        <f t="shared" si="0"/>
        <v>0</v>
      </c>
      <c r="AS35" s="40"/>
    </row>
    <row r="36" spans="1:45" ht="16.5" customHeight="1" thickBot="1">
      <c r="A36" s="35">
        <v>15</v>
      </c>
      <c r="B36" s="58" t="s">
        <v>80</v>
      </c>
      <c r="C36" s="24">
        <v>1</v>
      </c>
      <c r="D36" s="25"/>
      <c r="E36" s="26"/>
      <c r="F36" s="26"/>
      <c r="G36" s="26"/>
      <c r="H36" s="26"/>
      <c r="I36" s="26"/>
      <c r="J36" s="26"/>
      <c r="K36" s="27"/>
      <c r="L36" s="25"/>
      <c r="M36" s="26"/>
      <c r="N36" s="26"/>
      <c r="O36" s="26"/>
      <c r="P36" s="26"/>
      <c r="Q36" s="27"/>
      <c r="R36" s="25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7"/>
      <c r="AJ36" s="25"/>
      <c r="AK36" s="26"/>
      <c r="AL36" s="26"/>
      <c r="AM36" s="26"/>
      <c r="AN36" s="26"/>
      <c r="AO36" s="26"/>
      <c r="AP36" s="26"/>
      <c r="AQ36" s="27"/>
      <c r="AR36" s="28">
        <f t="shared" si="0"/>
        <v>0</v>
      </c>
      <c r="AS36" s="37">
        <f>ROUND((AR36+AR37)/2,0)</f>
        <v>0</v>
      </c>
    </row>
    <row r="37" spans="1:45" ht="16.5" customHeight="1" thickBot="1">
      <c r="A37" s="36"/>
      <c r="B37" s="59"/>
      <c r="C37" s="29">
        <v>2</v>
      </c>
      <c r="D37" s="30"/>
      <c r="E37" s="31"/>
      <c r="F37" s="31"/>
      <c r="G37" s="31"/>
      <c r="H37" s="31"/>
      <c r="I37" s="31"/>
      <c r="J37" s="31"/>
      <c r="K37" s="32"/>
      <c r="L37" s="30"/>
      <c r="M37" s="31"/>
      <c r="N37" s="31"/>
      <c r="O37" s="31"/>
      <c r="P37" s="31"/>
      <c r="Q37" s="32"/>
      <c r="R37" s="30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2"/>
      <c r="AJ37" s="30"/>
      <c r="AK37" s="31"/>
      <c r="AL37" s="31"/>
      <c r="AM37" s="31"/>
      <c r="AN37" s="31"/>
      <c r="AO37" s="31"/>
      <c r="AP37" s="31"/>
      <c r="AQ37" s="32"/>
      <c r="AR37" s="28">
        <f t="shared" si="0"/>
        <v>0</v>
      </c>
      <c r="AS37" s="38"/>
    </row>
    <row r="38" spans="1:45" ht="16.5" customHeight="1" thickBot="1">
      <c r="A38" s="35">
        <v>16</v>
      </c>
      <c r="B38" s="58" t="s">
        <v>81</v>
      </c>
      <c r="C38" s="24">
        <v>1</v>
      </c>
      <c r="D38" s="25"/>
      <c r="E38" s="26"/>
      <c r="F38" s="26"/>
      <c r="G38" s="26"/>
      <c r="H38" s="26"/>
      <c r="I38" s="26"/>
      <c r="J38" s="26"/>
      <c r="K38" s="27"/>
      <c r="L38" s="25"/>
      <c r="M38" s="26"/>
      <c r="N38" s="26"/>
      <c r="O38" s="26"/>
      <c r="P38" s="26"/>
      <c r="Q38" s="27"/>
      <c r="R38" s="25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7"/>
      <c r="AJ38" s="25"/>
      <c r="AK38" s="26"/>
      <c r="AL38" s="26"/>
      <c r="AM38" s="26"/>
      <c r="AN38" s="26"/>
      <c r="AO38" s="26"/>
      <c r="AP38" s="26"/>
      <c r="AQ38" s="27"/>
      <c r="AR38" s="28">
        <f t="shared" si="0"/>
        <v>0</v>
      </c>
      <c r="AS38" s="37">
        <f>ROUND((AR38+AR39)/2,0)</f>
        <v>0</v>
      </c>
    </row>
    <row r="39" spans="1:45" ht="16.5" customHeight="1" thickBot="1">
      <c r="A39" s="36"/>
      <c r="B39" s="59"/>
      <c r="C39" s="29">
        <v>2</v>
      </c>
      <c r="D39" s="30"/>
      <c r="E39" s="31"/>
      <c r="F39" s="31"/>
      <c r="G39" s="31"/>
      <c r="H39" s="31"/>
      <c r="I39" s="31"/>
      <c r="J39" s="31"/>
      <c r="K39" s="32"/>
      <c r="L39" s="30"/>
      <c r="M39" s="31"/>
      <c r="N39" s="31"/>
      <c r="O39" s="31"/>
      <c r="P39" s="31"/>
      <c r="Q39" s="32"/>
      <c r="R39" s="30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2"/>
      <c r="AJ39" s="30"/>
      <c r="AK39" s="31"/>
      <c r="AL39" s="31"/>
      <c r="AM39" s="31"/>
      <c r="AN39" s="31"/>
      <c r="AO39" s="31"/>
      <c r="AP39" s="31"/>
      <c r="AQ39" s="32"/>
      <c r="AR39" s="28">
        <f t="shared" si="0"/>
        <v>0</v>
      </c>
      <c r="AS39" s="38"/>
    </row>
    <row r="40" spans="1:45" ht="16.5" customHeight="1" thickBot="1">
      <c r="A40" s="35">
        <v>17</v>
      </c>
      <c r="B40" s="58" t="s">
        <v>82</v>
      </c>
      <c r="C40" s="24">
        <v>1</v>
      </c>
      <c r="D40" s="25"/>
      <c r="E40" s="26"/>
      <c r="F40" s="26"/>
      <c r="G40" s="26"/>
      <c r="H40" s="26"/>
      <c r="I40" s="26"/>
      <c r="J40" s="26"/>
      <c r="K40" s="27"/>
      <c r="L40" s="25"/>
      <c r="M40" s="26"/>
      <c r="N40" s="26"/>
      <c r="O40" s="26"/>
      <c r="P40" s="26"/>
      <c r="Q40" s="27"/>
      <c r="R40" s="25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7"/>
      <c r="AJ40" s="25"/>
      <c r="AK40" s="26"/>
      <c r="AL40" s="26"/>
      <c r="AM40" s="26"/>
      <c r="AN40" s="26"/>
      <c r="AO40" s="26"/>
      <c r="AP40" s="26"/>
      <c r="AQ40" s="27"/>
      <c r="AR40" s="28">
        <f t="shared" si="0"/>
        <v>0</v>
      </c>
      <c r="AS40" s="37">
        <f>ROUND((AR40+AR41)/2,0)</f>
        <v>0</v>
      </c>
    </row>
    <row r="41" spans="1:45" ht="16.5" customHeight="1" thickBot="1">
      <c r="A41" s="36"/>
      <c r="B41" s="59"/>
      <c r="C41" s="29">
        <v>2</v>
      </c>
      <c r="D41" s="30"/>
      <c r="E41" s="31"/>
      <c r="F41" s="31"/>
      <c r="G41" s="31"/>
      <c r="H41" s="31"/>
      <c r="I41" s="31"/>
      <c r="J41" s="31"/>
      <c r="K41" s="32"/>
      <c r="L41" s="30"/>
      <c r="M41" s="31"/>
      <c r="N41" s="31"/>
      <c r="O41" s="31"/>
      <c r="P41" s="31"/>
      <c r="Q41" s="32"/>
      <c r="R41" s="30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2"/>
      <c r="AJ41" s="30"/>
      <c r="AK41" s="31"/>
      <c r="AL41" s="31"/>
      <c r="AM41" s="31"/>
      <c r="AN41" s="31"/>
      <c r="AO41" s="31"/>
      <c r="AP41" s="31"/>
      <c r="AQ41" s="32"/>
      <c r="AR41" s="28">
        <f t="shared" si="0"/>
        <v>0</v>
      </c>
      <c r="AS41" s="38"/>
    </row>
    <row r="42" spans="1:45" ht="16.5" customHeight="1" thickBot="1">
      <c r="A42" s="35">
        <v>18</v>
      </c>
      <c r="B42" s="58" t="s">
        <v>84</v>
      </c>
      <c r="C42" s="24">
        <v>1</v>
      </c>
      <c r="D42" s="25"/>
      <c r="E42" s="26"/>
      <c r="F42" s="26"/>
      <c r="G42" s="26"/>
      <c r="H42" s="26"/>
      <c r="I42" s="26"/>
      <c r="J42" s="26"/>
      <c r="K42" s="27"/>
      <c r="L42" s="25"/>
      <c r="M42" s="26"/>
      <c r="N42" s="26"/>
      <c r="O42" s="26"/>
      <c r="P42" s="26"/>
      <c r="Q42" s="27"/>
      <c r="R42" s="25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7"/>
      <c r="AJ42" s="25"/>
      <c r="AK42" s="26"/>
      <c r="AL42" s="26"/>
      <c r="AM42" s="26"/>
      <c r="AN42" s="26"/>
      <c r="AO42" s="26"/>
      <c r="AP42" s="26"/>
      <c r="AQ42" s="27"/>
      <c r="AR42" s="28">
        <f t="shared" si="0"/>
        <v>0</v>
      </c>
      <c r="AS42" s="37">
        <f>ROUND((AR42+AR43)/2,0)</f>
        <v>0</v>
      </c>
    </row>
    <row r="43" spans="1:45" ht="16.5" customHeight="1" thickBot="1">
      <c r="A43" s="36"/>
      <c r="B43" s="59"/>
      <c r="C43" s="29">
        <v>2</v>
      </c>
      <c r="D43" s="30"/>
      <c r="E43" s="31"/>
      <c r="F43" s="31"/>
      <c r="G43" s="31"/>
      <c r="H43" s="31"/>
      <c r="I43" s="31"/>
      <c r="J43" s="31"/>
      <c r="K43" s="32"/>
      <c r="L43" s="30"/>
      <c r="M43" s="31"/>
      <c r="N43" s="31"/>
      <c r="O43" s="31"/>
      <c r="P43" s="31"/>
      <c r="Q43" s="32"/>
      <c r="R43" s="30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2"/>
      <c r="AJ43" s="30"/>
      <c r="AK43" s="31"/>
      <c r="AL43" s="31"/>
      <c r="AM43" s="31"/>
      <c r="AN43" s="31"/>
      <c r="AO43" s="31"/>
      <c r="AP43" s="31"/>
      <c r="AQ43" s="32"/>
      <c r="AR43" s="28">
        <f t="shared" si="0"/>
        <v>0</v>
      </c>
      <c r="AS43" s="38"/>
    </row>
    <row r="44" spans="1:45" ht="16.5" customHeight="1" thickBot="1">
      <c r="A44" s="35">
        <v>19</v>
      </c>
      <c r="B44" s="58" t="s">
        <v>85</v>
      </c>
      <c r="C44" s="24">
        <v>1</v>
      </c>
      <c r="D44" s="25"/>
      <c r="E44" s="26"/>
      <c r="F44" s="26"/>
      <c r="G44" s="26"/>
      <c r="H44" s="26"/>
      <c r="I44" s="26"/>
      <c r="J44" s="26"/>
      <c r="K44" s="27"/>
      <c r="L44" s="25"/>
      <c r="M44" s="26"/>
      <c r="N44" s="26"/>
      <c r="O44" s="26"/>
      <c r="P44" s="26"/>
      <c r="Q44" s="27"/>
      <c r="R44" s="25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7"/>
      <c r="AJ44" s="25"/>
      <c r="AK44" s="26"/>
      <c r="AL44" s="26"/>
      <c r="AM44" s="26"/>
      <c r="AN44" s="26"/>
      <c r="AO44" s="26"/>
      <c r="AP44" s="26"/>
      <c r="AQ44" s="27"/>
      <c r="AR44" s="28">
        <f t="shared" si="0"/>
        <v>0</v>
      </c>
      <c r="AS44" s="37">
        <f>ROUND((AR44+AR45)/2,0)</f>
        <v>0</v>
      </c>
    </row>
    <row r="45" spans="1:45" ht="16.5" customHeight="1" thickBot="1">
      <c r="A45" s="36"/>
      <c r="B45" s="59"/>
      <c r="C45" s="29">
        <v>2</v>
      </c>
      <c r="D45" s="30"/>
      <c r="E45" s="31"/>
      <c r="F45" s="31"/>
      <c r="G45" s="31"/>
      <c r="H45" s="31"/>
      <c r="I45" s="31"/>
      <c r="J45" s="31"/>
      <c r="K45" s="32"/>
      <c r="L45" s="30"/>
      <c r="M45" s="31"/>
      <c r="N45" s="31"/>
      <c r="O45" s="31"/>
      <c r="P45" s="31"/>
      <c r="Q45" s="32"/>
      <c r="R45" s="30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2"/>
      <c r="AJ45" s="30"/>
      <c r="AK45" s="31"/>
      <c r="AL45" s="31"/>
      <c r="AM45" s="31"/>
      <c r="AN45" s="31"/>
      <c r="AO45" s="31"/>
      <c r="AP45" s="31"/>
      <c r="AQ45" s="32"/>
      <c r="AR45" s="28">
        <f t="shared" si="0"/>
        <v>0</v>
      </c>
      <c r="AS45" s="38"/>
    </row>
    <row r="46" spans="1:45" ht="16.5" customHeight="1" thickBot="1">
      <c r="A46" s="35">
        <v>20</v>
      </c>
      <c r="B46" s="58" t="s">
        <v>83</v>
      </c>
      <c r="C46" s="24">
        <v>1</v>
      </c>
      <c r="D46" s="25"/>
      <c r="E46" s="26"/>
      <c r="F46" s="26"/>
      <c r="G46" s="26"/>
      <c r="H46" s="26"/>
      <c r="I46" s="26"/>
      <c r="J46" s="26"/>
      <c r="K46" s="27"/>
      <c r="L46" s="25"/>
      <c r="M46" s="26"/>
      <c r="N46" s="26"/>
      <c r="O46" s="26"/>
      <c r="P46" s="26"/>
      <c r="Q46" s="27"/>
      <c r="R46" s="25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7"/>
      <c r="AJ46" s="25"/>
      <c r="AK46" s="26"/>
      <c r="AL46" s="26"/>
      <c r="AM46" s="26"/>
      <c r="AN46" s="26"/>
      <c r="AO46" s="26"/>
      <c r="AP46" s="26"/>
      <c r="AQ46" s="27"/>
      <c r="AR46" s="28">
        <f t="shared" si="0"/>
        <v>0</v>
      </c>
      <c r="AS46" s="37">
        <f>ROUND((AR46+AR47)/2,0)</f>
        <v>0</v>
      </c>
    </row>
    <row r="47" spans="1:45" ht="16.5" customHeight="1" thickBot="1">
      <c r="A47" s="36"/>
      <c r="B47" s="59"/>
      <c r="C47" s="29">
        <v>2</v>
      </c>
      <c r="D47" s="30"/>
      <c r="E47" s="31"/>
      <c r="F47" s="31"/>
      <c r="G47" s="31"/>
      <c r="H47" s="31"/>
      <c r="I47" s="31"/>
      <c r="J47" s="31"/>
      <c r="K47" s="32"/>
      <c r="L47" s="30"/>
      <c r="M47" s="31"/>
      <c r="N47" s="31"/>
      <c r="O47" s="31"/>
      <c r="P47" s="31"/>
      <c r="Q47" s="32"/>
      <c r="R47" s="30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2"/>
      <c r="AJ47" s="30"/>
      <c r="AK47" s="31"/>
      <c r="AL47" s="31"/>
      <c r="AM47" s="31"/>
      <c r="AN47" s="31"/>
      <c r="AO47" s="31"/>
      <c r="AP47" s="31"/>
      <c r="AQ47" s="32"/>
      <c r="AR47" s="28">
        <f t="shared" si="0"/>
        <v>0</v>
      </c>
      <c r="AS47" s="38"/>
    </row>
    <row r="48" spans="1:45" ht="16.5" customHeight="1" thickBot="1">
      <c r="A48" s="35">
        <v>21</v>
      </c>
      <c r="B48" s="58"/>
      <c r="C48" s="24">
        <v>1</v>
      </c>
      <c r="D48" s="25"/>
      <c r="E48" s="26"/>
      <c r="F48" s="26"/>
      <c r="G48" s="26"/>
      <c r="H48" s="26"/>
      <c r="I48" s="26"/>
      <c r="J48" s="26"/>
      <c r="K48" s="27"/>
      <c r="L48" s="25"/>
      <c r="M48" s="26"/>
      <c r="N48" s="26"/>
      <c r="O48" s="26"/>
      <c r="P48" s="26"/>
      <c r="Q48" s="27"/>
      <c r="R48" s="25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7"/>
      <c r="AJ48" s="25"/>
      <c r="AK48" s="26"/>
      <c r="AL48" s="26"/>
      <c r="AM48" s="26"/>
      <c r="AN48" s="26"/>
      <c r="AO48" s="26"/>
      <c r="AP48" s="26"/>
      <c r="AQ48" s="27"/>
      <c r="AR48" s="28">
        <f t="shared" si="0"/>
        <v>0</v>
      </c>
      <c r="AS48" s="37">
        <f>ROUND((AR48+AR49)/2,0)</f>
        <v>0</v>
      </c>
    </row>
    <row r="49" spans="1:45" ht="16.5" customHeight="1" thickBot="1">
      <c r="A49" s="36"/>
      <c r="B49" s="59"/>
      <c r="C49" s="29">
        <v>2</v>
      </c>
      <c r="D49" s="30"/>
      <c r="E49" s="31"/>
      <c r="F49" s="31"/>
      <c r="G49" s="31"/>
      <c r="H49" s="31"/>
      <c r="I49" s="31"/>
      <c r="J49" s="31"/>
      <c r="K49" s="32"/>
      <c r="L49" s="30"/>
      <c r="M49" s="31"/>
      <c r="N49" s="31"/>
      <c r="O49" s="31"/>
      <c r="P49" s="31"/>
      <c r="Q49" s="32"/>
      <c r="R49" s="30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2"/>
      <c r="AJ49" s="30"/>
      <c r="AK49" s="31"/>
      <c r="AL49" s="31"/>
      <c r="AM49" s="31"/>
      <c r="AN49" s="31"/>
      <c r="AO49" s="31"/>
      <c r="AP49" s="31"/>
      <c r="AQ49" s="32"/>
      <c r="AR49" s="28">
        <f t="shared" si="0"/>
        <v>0</v>
      </c>
      <c r="AS49" s="38"/>
    </row>
    <row r="50" spans="1:45" ht="16.5" customHeight="1" thickBot="1">
      <c r="A50" s="35">
        <v>22</v>
      </c>
      <c r="B50" s="58"/>
      <c r="C50" s="24">
        <v>1</v>
      </c>
      <c r="D50" s="25"/>
      <c r="E50" s="26"/>
      <c r="F50" s="26"/>
      <c r="G50" s="26"/>
      <c r="H50" s="26"/>
      <c r="I50" s="26"/>
      <c r="J50" s="26"/>
      <c r="K50" s="27"/>
      <c r="L50" s="25"/>
      <c r="M50" s="26"/>
      <c r="N50" s="26"/>
      <c r="O50" s="26"/>
      <c r="P50" s="26"/>
      <c r="Q50" s="27"/>
      <c r="R50" s="25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7"/>
      <c r="AJ50" s="25"/>
      <c r="AK50" s="26"/>
      <c r="AL50" s="26"/>
      <c r="AM50" s="26"/>
      <c r="AN50" s="26"/>
      <c r="AO50" s="26"/>
      <c r="AP50" s="26"/>
      <c r="AQ50" s="27"/>
      <c r="AR50" s="28">
        <f t="shared" si="0"/>
        <v>0</v>
      </c>
      <c r="AS50" s="37">
        <f>ROUND((AR50+AR51)/2,0)</f>
        <v>0</v>
      </c>
    </row>
    <row r="51" spans="1:45" ht="16.5" customHeight="1" thickBot="1">
      <c r="A51" s="36"/>
      <c r="B51" s="59"/>
      <c r="C51" s="29">
        <v>2</v>
      </c>
      <c r="D51" s="30"/>
      <c r="E51" s="31"/>
      <c r="F51" s="31"/>
      <c r="G51" s="31"/>
      <c r="H51" s="31"/>
      <c r="I51" s="31"/>
      <c r="J51" s="31"/>
      <c r="K51" s="32"/>
      <c r="L51" s="30"/>
      <c r="M51" s="31"/>
      <c r="N51" s="31"/>
      <c r="O51" s="31"/>
      <c r="P51" s="31"/>
      <c r="Q51" s="32"/>
      <c r="R51" s="30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2"/>
      <c r="AJ51" s="30"/>
      <c r="AK51" s="31"/>
      <c r="AL51" s="31"/>
      <c r="AM51" s="31"/>
      <c r="AN51" s="31"/>
      <c r="AO51" s="31"/>
      <c r="AP51" s="31"/>
      <c r="AQ51" s="32"/>
      <c r="AR51" s="28">
        <f t="shared" si="0"/>
        <v>0</v>
      </c>
      <c r="AS51" s="38"/>
    </row>
    <row r="52" spans="1:45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1:45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</row>
    <row r="54" spans="1:45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</row>
    <row r="55" spans="1:45" ht="15.75" customHeight="1">
      <c r="B55" s="33" t="s">
        <v>52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41" t="s">
        <v>53</v>
      </c>
      <c r="AK55" s="36"/>
      <c r="AL55" s="36"/>
      <c r="AM55" s="36"/>
      <c r="AN55" s="36"/>
      <c r="AO55" s="36"/>
      <c r="AP55" s="36"/>
      <c r="AQ55" s="36"/>
    </row>
    <row r="56" spans="1:45" ht="15.75" customHeight="1"/>
    <row r="57" spans="1:45" ht="15.75" customHeight="1"/>
    <row r="58" spans="1:45" ht="15.75" customHeight="1"/>
    <row r="59" spans="1:45" ht="15.75" customHeight="1"/>
    <row r="60" spans="1:45" ht="15.75" customHeight="1"/>
    <row r="61" spans="1:45" ht="15.75" customHeight="1"/>
    <row r="62" spans="1:45" ht="15.75" customHeight="1"/>
    <row r="63" spans="1:45" ht="15.75" customHeight="1"/>
    <row r="64" spans="1:4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</sheetData>
  <mergeCells count="93">
    <mergeCell ref="B34:B35"/>
    <mergeCell ref="B28:B29"/>
    <mergeCell ref="B1:AS1"/>
    <mergeCell ref="B2:AS2"/>
    <mergeCell ref="N5:Z5"/>
    <mergeCell ref="AA6:AC6"/>
    <mergeCell ref="AD6:AG6"/>
    <mergeCell ref="AA5:AG5"/>
    <mergeCell ref="AH5:AQ6"/>
    <mergeCell ref="D5:H5"/>
    <mergeCell ref="D6:H6"/>
    <mergeCell ref="AJ4:AS4"/>
    <mergeCell ref="AI3:AK3"/>
    <mergeCell ref="AL3:AQ3"/>
    <mergeCell ref="U3:AH3"/>
    <mergeCell ref="F3:H3"/>
    <mergeCell ref="C3:D3"/>
    <mergeCell ref="I3:J3"/>
    <mergeCell ref="L3:T3"/>
    <mergeCell ref="U6:X6"/>
    <mergeCell ref="Y6:Z6"/>
    <mergeCell ref="B46:B47"/>
    <mergeCell ref="B40:B41"/>
    <mergeCell ref="B42:B43"/>
    <mergeCell ref="AS32:AS33"/>
    <mergeCell ref="AS34:AS35"/>
    <mergeCell ref="AS30:AS31"/>
    <mergeCell ref="AR5:AS6"/>
    <mergeCell ref="B24:B25"/>
    <mergeCell ref="B26:B27"/>
    <mergeCell ref="B20:B21"/>
    <mergeCell ref="B22:B23"/>
    <mergeCell ref="AS20:AS21"/>
    <mergeCell ref="AS22:AS23"/>
    <mergeCell ref="B36:B37"/>
    <mergeCell ref="B38:B39"/>
    <mergeCell ref="B32:B33"/>
    <mergeCell ref="AJ55:AQ55"/>
    <mergeCell ref="B30:B31"/>
    <mergeCell ref="N6:P6"/>
    <mergeCell ref="Q6:T6"/>
    <mergeCell ref="B16:B17"/>
    <mergeCell ref="B18:B19"/>
    <mergeCell ref="B12:B13"/>
    <mergeCell ref="B5:B7"/>
    <mergeCell ref="B8:B9"/>
    <mergeCell ref="B10:B11"/>
    <mergeCell ref="C5:C7"/>
    <mergeCell ref="B14:B15"/>
    <mergeCell ref="I5:M5"/>
    <mergeCell ref="I6:M6"/>
    <mergeCell ref="B48:B49"/>
    <mergeCell ref="B50:B51"/>
    <mergeCell ref="B44:B45"/>
    <mergeCell ref="AS28:AS29"/>
    <mergeCell ref="AS24:AS25"/>
    <mergeCell ref="AS26:AS27"/>
    <mergeCell ref="AS16:AS17"/>
    <mergeCell ref="AS18:AS19"/>
    <mergeCell ref="AS12:AS13"/>
    <mergeCell ref="AS14:AS15"/>
    <mergeCell ref="AS48:AS49"/>
    <mergeCell ref="AS50:AS51"/>
    <mergeCell ref="AS44:AS45"/>
    <mergeCell ref="AS46:AS47"/>
    <mergeCell ref="AS40:AS41"/>
    <mergeCell ref="AS42:AS43"/>
    <mergeCell ref="AS36:AS37"/>
    <mergeCell ref="AS38:AS39"/>
    <mergeCell ref="A50:A51"/>
    <mergeCell ref="A48:A49"/>
    <mergeCell ref="A44:A45"/>
    <mergeCell ref="A46:A47"/>
    <mergeCell ref="A40:A41"/>
    <mergeCell ref="A42:A43"/>
    <mergeCell ref="AS8:AS9"/>
    <mergeCell ref="AS10:AS11"/>
    <mergeCell ref="A36:A37"/>
    <mergeCell ref="A38:A39"/>
    <mergeCell ref="A20:A21"/>
    <mergeCell ref="A16:A17"/>
    <mergeCell ref="A18:A19"/>
    <mergeCell ref="A12:A13"/>
    <mergeCell ref="A14:A15"/>
    <mergeCell ref="A8:A9"/>
    <mergeCell ref="A10:A11"/>
    <mergeCell ref="A32:A33"/>
    <mergeCell ref="A34:A35"/>
    <mergeCell ref="A28:A29"/>
    <mergeCell ref="A30:A31"/>
    <mergeCell ref="A24:A25"/>
    <mergeCell ref="A26:A27"/>
    <mergeCell ref="A22:A23"/>
  </mergeCells>
  <pageMargins left="0.28999999999999998" right="0.26" top="0.36" bottom="0.4" header="0.25" footer="0.26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0:A99"/>
  <sheetViews>
    <sheetView topLeftCell="D1" workbookViewId="0">
      <selection activeCell="AN4" sqref="AN4"/>
    </sheetView>
  </sheetViews>
  <sheetFormatPr defaultColWidth="5.7109375" defaultRowHeight="15" customHeight="1"/>
  <sheetData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"/>
  <sheetViews>
    <sheetView workbookViewId="0"/>
  </sheetViews>
  <sheetFormatPr defaultColWidth="14.42578125" defaultRowHeight="15" customHeight="1"/>
  <cols>
    <col min="1" max="11" width="8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karashanpar</dc:creator>
  <cp:lastModifiedBy>acer</cp:lastModifiedBy>
  <cp:lastPrinted>2024-07-28T01:05:45Z</cp:lastPrinted>
  <dcterms:created xsi:type="dcterms:W3CDTF">2015-04-18T03:10:00Z</dcterms:created>
  <dcterms:modified xsi:type="dcterms:W3CDTF">2025-04-12T15:47:30Z</dcterms:modified>
</cp:coreProperties>
</file>